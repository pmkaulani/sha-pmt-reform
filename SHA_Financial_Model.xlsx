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emium Bands" sheetId="2" state="visible" r:id="rId2"/>
    <sheet xmlns:r="http://schemas.openxmlformats.org/officeDocument/2006/relationships" name="Adverse Selection Model" sheetId="3" state="visible" r:id="rId3"/>
    <sheet xmlns:r="http://schemas.openxmlformats.org/officeDocument/2006/relationships" name="County Fiscal Profile" sheetId="4" state="visible" r:id="rId4"/>
    <sheet xmlns:r="http://schemas.openxmlformats.org/officeDocument/2006/relationships" name="Claims &amp; Payout Analysis" sheetId="5" state="visible" r:id="rId5"/>
    <sheet xmlns:r="http://schemas.openxmlformats.org/officeDocument/2006/relationships" name="Health Solidarity Lev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KSh #,##0"/>
    <numFmt numFmtId="166" formatCode="KSh #,##0.00&quot;B&quot;"/>
    <numFmt numFmtId="167" formatCode="KSh #,##0&quot;M&quot;"/>
    <numFmt numFmtId="168" formatCode="&quot;KSh &quot;#,##0"/>
    <numFmt numFmtId="169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001B365D"/>
      <sz val="16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385723"/>
      <sz val="10"/>
    </font>
    <font>
      <name val="Arial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595959"/>
      </top>
      <bottom style="double">
        <color rgb="001B365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5" fillId="3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0" fontId="5" fillId="0" borderId="0" pivotButton="0" quotePrefix="0" xfId="0"/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5" fillId="0" borderId="2" pivotButton="0" quotePrefix="0" xfId="0"/>
    <xf numFmtId="0" fontId="0" fillId="0" borderId="2" pivotButton="0" quotePrefix="0" xfId="0"/>
    <xf numFmtId="3" fontId="5" fillId="0" borderId="2" applyAlignment="1" pivotButton="0" quotePrefix="0" xfId="0">
      <alignment horizontal="right" vertical="center"/>
    </xf>
    <xf numFmtId="165" fontId="5" fillId="0" borderId="2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4" fontId="5" fillId="3" borderId="2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69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9" customWidth="1" min="2" max="2"/>
    <col width="20" customWidth="1" min="3" max="3"/>
    <col width="20" customWidth="1" min="4" max="4"/>
    <col width="12" customWidth="1" min="5" max="5"/>
    <col width="35" customWidth="1" min="6" max="6"/>
  </cols>
  <sheetData>
    <row r="2">
      <c r="B2" s="1" t="inlineStr">
        <is>
          <t>SHA Means-Testing Reform Model</t>
        </is>
      </c>
    </row>
    <row r="3">
      <c r="B3" s="2" t="inlineStr">
        <is>
          <t>Financial Sustainability &amp; Actuarial Dashboard (v2.1)</t>
        </is>
      </c>
    </row>
    <row r="5">
      <c r="B5" s="3" t="inlineStr">
        <is>
          <t>Key Actuarial Metric</t>
        </is>
      </c>
      <c r="C5" s="3" t="inlineStr">
        <is>
          <t>Current Lasso PMT</t>
        </is>
      </c>
      <c r="D5" s="3" t="inlineStr">
        <is>
          <t>Proposed AGI v2.1</t>
        </is>
      </c>
      <c r="E5" s="3" t="inlineStr">
        <is>
          <t>Change</t>
        </is>
      </c>
      <c r="F5" s="3" t="inlineStr">
        <is>
          <t>Status Indicator</t>
        </is>
      </c>
    </row>
    <row r="6">
      <c r="B6" s="4" t="inlineStr">
        <is>
          <t>Target Informal Registrants (M)</t>
        </is>
      </c>
      <c r="C6" s="5" t="n">
        <v>22</v>
      </c>
      <c r="D6" s="5" t="n">
        <v>22</v>
      </c>
      <c r="E6" s="6" t="inlineStr">
        <is>
          <t>0.0%</t>
        </is>
      </c>
      <c r="F6" s="7" t="inlineStr">
        <is>
          <t>Neutral - Constant</t>
        </is>
      </c>
    </row>
    <row r="7">
      <c r="B7" s="8" t="inlineStr">
        <is>
          <t>Active Paying Contributors (M)</t>
        </is>
      </c>
      <c r="C7" s="9" t="n">
        <v>4.84</v>
      </c>
      <c r="D7" s="9" t="n">
        <v>13.64</v>
      </c>
      <c r="E7" s="10" t="inlineStr">
        <is>
          <t>181.8%</t>
        </is>
      </c>
      <c r="F7" s="11" t="inlineStr">
        <is>
          <t>Positive - Compliance Jump</t>
        </is>
      </c>
    </row>
    <row r="8">
      <c r="B8" s="4" t="inlineStr">
        <is>
          <t>Active Compliance Rate (%)</t>
        </is>
      </c>
      <c r="C8" s="12" t="n">
        <v>0.22</v>
      </c>
      <c r="D8" s="12" t="n">
        <v>0.62</v>
      </c>
      <c r="E8" s="6" t="inlineStr">
        <is>
          <t>181.8%</t>
        </is>
      </c>
      <c r="F8" s="11" t="inlineStr">
        <is>
          <t>Positive - Trust Restored</t>
        </is>
      </c>
    </row>
    <row r="9">
      <c r="B9" s="8" t="inlineStr">
        <is>
          <t>Average Monthly Premium (KSh)</t>
        </is>
      </c>
      <c r="C9" s="9" t="n">
        <v>1500</v>
      </c>
      <c r="D9" s="9" t="n">
        <v>850</v>
      </c>
      <c r="E9" s="10" t="inlineStr">
        <is>
          <t>-43.3%</t>
        </is>
      </c>
      <c r="F9" s="7" t="inlineStr">
        <is>
          <t>Neutral - Fair Pricing</t>
        </is>
      </c>
    </row>
    <row r="10">
      <c r="B10" s="4" t="inlineStr">
        <is>
          <t>Total Annual Collections (KSh Billion)</t>
        </is>
      </c>
      <c r="C10" s="5" t="n">
        <v>87.12</v>
      </c>
      <c r="D10" s="5" t="n">
        <v>139.13</v>
      </c>
      <c r="E10" s="6" t="inlineStr">
        <is>
          <t>59.7%</t>
        </is>
      </c>
      <c r="F10" s="11" t="inlineStr">
        <is>
          <t>Positive - Volume Expansion</t>
        </is>
      </c>
    </row>
    <row r="11">
      <c r="B11" s="8" t="inlineStr">
        <is>
          <t>Government Indigent Subsidy (KSh Billion)</t>
        </is>
      </c>
      <c r="C11" s="10" t="n">
        <v>26</v>
      </c>
      <c r="D11" s="10" t="n">
        <v>26</v>
      </c>
      <c r="E11" s="10" t="inlineStr">
        <is>
          <t>0.0%</t>
        </is>
      </c>
      <c r="F11" s="7" t="inlineStr">
        <is>
          <t>Neutral - Budget Neutral</t>
        </is>
      </c>
    </row>
    <row r="12">
      <c r="B12" s="4" t="inlineStr">
        <is>
          <t>Total Fund Revenue (KSh Billion)</t>
        </is>
      </c>
      <c r="C12" s="5" t="n">
        <v>112.12</v>
      </c>
      <c r="D12" s="5" t="n">
        <v>164.13</v>
      </c>
      <c r="E12" s="6" t="inlineStr">
        <is>
          <t>46.4%</t>
        </is>
      </c>
      <c r="F12" s="11" t="inlineStr">
        <is>
          <t>Positive - Fund Rescued</t>
        </is>
      </c>
    </row>
    <row r="13">
      <c r="B13" s="8" t="inlineStr">
        <is>
          <t>Projected Annual Claims (KSh Billion)</t>
        </is>
      </c>
      <c r="C13" s="9" t="n">
        <v>177.8</v>
      </c>
      <c r="D13" s="9" t="n">
        <v>104.3</v>
      </c>
      <c r="E13" s="10" t="inlineStr">
        <is>
          <t>-41.3%</t>
        </is>
      </c>
      <c r="F13" s="11" t="inlineStr">
        <is>
          <t>Positive - Risk Pool Diversified</t>
        </is>
      </c>
    </row>
    <row r="14">
      <c r="B14" s="4" t="inlineStr">
        <is>
          <t>Net Fund Balance (KSh Billion)</t>
        </is>
      </c>
      <c r="C14" s="31" t="n">
        <v>-65.68000000000001</v>
      </c>
      <c r="D14" s="31" t="n">
        <v>60.83</v>
      </c>
      <c r="E14" s="6" t="inlineStr">
        <is>
          <t>191.1%</t>
        </is>
      </c>
      <c r="F14" s="11" t="inlineStr">
        <is>
          <t>Positive - Deficit Resolved</t>
        </is>
      </c>
    </row>
    <row r="15">
      <c r="B15" s="8" t="inlineStr">
        <is>
          <t>Actuarial Payout Ratio (%)</t>
        </is>
      </c>
      <c r="C15" s="17" t="n">
        <v>1.586</v>
      </c>
      <c r="D15" s="17" t="n">
        <v>0.635</v>
      </c>
      <c r="E15" s="10" t="inlineStr">
        <is>
          <t>-59.9%</t>
        </is>
      </c>
      <c r="F15" s="11" t="inlineStr">
        <is>
          <t>Positive - Solvent (&lt;70%)</t>
        </is>
      </c>
    </row>
    <row r="18">
      <c r="B18" s="18" t="inlineStr">
        <is>
          <t>Key Notes:</t>
        </is>
      </c>
    </row>
    <row r="19">
      <c r="B19" s="2" t="inlineStr">
        <is>
          <t>1. Current Lasso PMT triggers an adverse selection cycle, resulting in a KSh 65.68 Billion annual deficit. The v2.1 AGI model addresses this through behavioral proxies and equalized odds constraints.</t>
        </is>
      </c>
    </row>
    <row r="20">
      <c r="B20" s="2" t="inlineStr">
        <is>
          <t>2. Proposed SHA PMT v2.1 lowers the entry premium barriers, attracting healthy informal workers and expanding paying active contributors.</t>
        </is>
      </c>
    </row>
    <row r="21">
      <c r="B21" s="2" t="inlineStr">
        <is>
          <t>3. Claims drop by 41.3% due to risk pool diversification (claims are spread over a large healthy denominator instead of concentrated on the sick).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8" customWidth="1" min="3" max="3"/>
    <col width="18" customWidth="1" min="4" max="4"/>
    <col width="23" customWidth="1" min="5" max="5"/>
    <col width="24" customWidth="1" min="6" max="6"/>
    <col width="23" customWidth="1" min="7" max="7"/>
    <col width="26" customWidth="1" min="8" max="8"/>
  </cols>
  <sheetData>
    <row r="2">
      <c r="B2" s="1" t="inlineStr">
        <is>
          <t>Demographic &amp; Contribution Bands</t>
        </is>
      </c>
    </row>
    <row r="5">
      <c r="B5" s="3" t="inlineStr">
        <is>
          <t>Band</t>
        </is>
      </c>
      <c r="C5" s="3" t="inlineStr">
        <is>
          <t>Target Demographic Group</t>
        </is>
      </c>
      <c r="D5" s="3" t="inlineStr">
        <is>
          <t>Est. Population</t>
        </is>
      </c>
      <c r="E5" s="3" t="inlineStr">
        <is>
          <t>Current Premium (mo)</t>
        </is>
      </c>
      <c r="F5" s="3" t="inlineStr">
        <is>
          <t>Proposed Premium (mo)</t>
        </is>
      </c>
      <c r="G5" s="3" t="inlineStr">
        <is>
          <t>Projected Compliance</t>
        </is>
      </c>
      <c r="H5" s="3" t="inlineStr">
        <is>
          <t>Est. Annual Collections</t>
        </is>
      </c>
    </row>
    <row r="6">
      <c r="B6" s="8" t="inlineStr">
        <is>
          <t>Band 1</t>
        </is>
      </c>
      <c r="C6" s="8" t="inlineStr">
        <is>
          <t>Indigent (Government Subsidized)</t>
        </is>
      </c>
      <c r="D6" s="19" t="n">
        <v>7500000</v>
      </c>
      <c r="E6" s="32" t="n">
        <v>300</v>
      </c>
      <c r="F6" s="32" t="n">
        <v>300</v>
      </c>
      <c r="G6" s="20" t="n">
        <v>1</v>
      </c>
      <c r="H6" s="19" t="n">
        <v>27000000000</v>
      </c>
    </row>
    <row r="7">
      <c r="B7" s="8" t="inlineStr">
        <is>
          <t>Band 2</t>
        </is>
      </c>
      <c r="C7" s="8" t="inlineStr">
        <is>
          <t>Informal Low-Income (AGI &lt;= 131k)</t>
        </is>
      </c>
      <c r="D7" s="19" t="n">
        <v>8000000</v>
      </c>
      <c r="E7" s="32" t="n">
        <v>1200</v>
      </c>
      <c r="F7" s="32" t="n">
        <v>300</v>
      </c>
      <c r="G7" s="20" t="n">
        <v>0.7</v>
      </c>
      <c r="H7" s="19" t="n">
        <v>20160000000</v>
      </c>
    </row>
    <row r="8">
      <c r="B8" s="8" t="inlineStr">
        <is>
          <t>Band 3</t>
        </is>
      </c>
      <c r="C8" s="8" t="inlineStr">
        <is>
          <t>Informal Mid-Income (AGI 131k-450k)</t>
        </is>
      </c>
      <c r="D8" s="19" t="n">
        <v>5000000</v>
      </c>
      <c r="E8" s="32" t="n">
        <v>1500</v>
      </c>
      <c r="F8" s="32" t="n">
        <v>870</v>
      </c>
      <c r="G8" s="20" t="n">
        <v>0.55</v>
      </c>
      <c r="H8" s="19" t="n">
        <v>28710000000</v>
      </c>
    </row>
    <row r="9">
      <c r="B9" s="8" t="inlineStr">
        <is>
          <t>Band 4</t>
        </is>
      </c>
      <c r="C9" s="8" t="inlineStr">
        <is>
          <t>Informal High-Income (AGI &gt; 450k)</t>
        </is>
      </c>
      <c r="D9" s="19" t="n">
        <v>1500000</v>
      </c>
      <c r="E9" s="32" t="n">
        <v>1500</v>
      </c>
      <c r="F9" s="32" t="n">
        <v>2500</v>
      </c>
      <c r="G9" s="20" t="n">
        <v>0.45</v>
      </c>
      <c r="H9" s="19" t="n">
        <v>20250000000</v>
      </c>
    </row>
    <row r="10">
      <c r="B10" s="8" t="inlineStr">
        <is>
          <t>Formal</t>
        </is>
      </c>
      <c r="C10" s="8" t="inlineStr">
        <is>
          <t>Formal Salaried (2.75% Deductions)</t>
        </is>
      </c>
      <c r="D10" s="19" t="n">
        <v>3500000</v>
      </c>
      <c r="E10" s="32" t="n">
        <v>4500</v>
      </c>
      <c r="F10" s="32" t="n">
        <v>4500</v>
      </c>
      <c r="G10" s="20" t="n">
        <v>0.95</v>
      </c>
      <c r="H10" s="19" t="n">
        <v>179550000000</v>
      </c>
    </row>
    <row r="11">
      <c r="B11" s="21" t="inlineStr">
        <is>
          <t>Total</t>
        </is>
      </c>
      <c r="C11" s="22" t="n"/>
      <c r="D11" s="23" t="n">
        <v>25500000</v>
      </c>
      <c r="E11" s="22" t="n"/>
      <c r="F11" s="22" t="n"/>
      <c r="G11" s="22" t="n"/>
      <c r="H11" s="23" t="n">
        <v>275670000000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8" customWidth="1" min="3" max="3"/>
    <col width="22" customWidth="1" min="4" max="4"/>
    <col width="24" customWidth="1" min="5" max="5"/>
    <col width="26" customWidth="1" min="6" max="6"/>
    <col width="24" customWidth="1" min="7" max="7"/>
    <col width="31" customWidth="1" min="8" max="8"/>
  </cols>
  <sheetData>
    <row r="2">
      <c r="B2" s="1" t="inlineStr">
        <is>
          <t>Adverse Selection Elasticity Curve</t>
        </is>
      </c>
    </row>
    <row r="5">
      <c r="B5" s="3" t="inlineStr">
        <is>
          <t>Avg. Informal Premium (KSh/mo)</t>
        </is>
      </c>
      <c r="C5" s="3" t="inlineStr">
        <is>
          <t>Projected Compliance Rate</t>
        </is>
      </c>
      <c r="D5" s="3" t="inlineStr">
        <is>
          <t>Total Active Payers</t>
        </is>
      </c>
      <c r="E5" s="3" t="inlineStr">
        <is>
          <t>Avg. Claim Cost (KSh)</t>
        </is>
      </c>
      <c r="F5" s="3" t="inlineStr">
        <is>
          <t>Total Claims Cost (KSh)</t>
        </is>
      </c>
      <c r="G5" s="3" t="inlineStr">
        <is>
          <t>Net Collections (KSh)</t>
        </is>
      </c>
      <c r="H5" s="3" t="inlineStr">
        <is>
          <t>Actuarial Status</t>
        </is>
      </c>
    </row>
    <row r="6">
      <c r="B6" s="20" t="n">
        <v>300</v>
      </c>
      <c r="C6" s="20" t="n">
        <v>0.8</v>
      </c>
      <c r="D6" s="19" t="n">
        <v>11600000</v>
      </c>
      <c r="E6" s="32" t="n">
        <v>2100</v>
      </c>
      <c r="F6" s="19" t="n">
        <v>26308800000</v>
      </c>
      <c r="G6" s="19" t="n">
        <v>41760000000</v>
      </c>
      <c r="H6" s="11" t="inlineStr">
        <is>
          <t>Solvent - High Compliance</t>
        </is>
      </c>
    </row>
    <row r="7">
      <c r="B7" s="20" t="n">
        <v>450</v>
      </c>
      <c r="C7" s="20" t="n">
        <v>0.72</v>
      </c>
      <c r="D7" s="19" t="n">
        <v>10440000</v>
      </c>
      <c r="E7" s="32" t="n">
        <v>2340</v>
      </c>
      <c r="F7" s="19" t="n">
        <v>27361152000</v>
      </c>
      <c r="G7" s="19" t="n">
        <v>56376000000</v>
      </c>
      <c r="H7" s="11" t="inlineStr">
        <is>
          <t>Solvent - Balanced Pool</t>
        </is>
      </c>
    </row>
    <row r="8">
      <c r="B8" s="20" t="n">
        <v>600</v>
      </c>
      <c r="C8" s="20" t="n">
        <v>0.65</v>
      </c>
      <c r="D8" s="19" t="n">
        <v>9425000</v>
      </c>
      <c r="E8" s="32" t="n">
        <v>2600</v>
      </c>
      <c r="F8" s="19" t="n">
        <v>28915900000</v>
      </c>
      <c r="G8" s="19" t="n">
        <v>67860000000</v>
      </c>
      <c r="H8" s="11" t="inlineStr">
        <is>
          <t>Stable - Limit Threshold</t>
        </is>
      </c>
    </row>
    <row r="9">
      <c r="B9" s="20" t="n">
        <v>800</v>
      </c>
      <c r="C9" s="20" t="n">
        <v>0.52</v>
      </c>
      <c r="D9" s="19" t="n">
        <v>7540000</v>
      </c>
      <c r="E9" s="32" t="n">
        <v>3000</v>
      </c>
      <c r="F9" s="19" t="n">
        <v>28953600000</v>
      </c>
      <c r="G9" s="19" t="n">
        <v>72384000000</v>
      </c>
      <c r="H9" s="25" t="inlineStr">
        <is>
          <t>Warning - Selection Starts</t>
        </is>
      </c>
    </row>
    <row r="10">
      <c r="B10" s="20" t="n">
        <v>1000</v>
      </c>
      <c r="C10" s="20" t="n">
        <v>0.4</v>
      </c>
      <c r="D10" s="19" t="n">
        <v>5800000</v>
      </c>
      <c r="E10" s="32" t="n">
        <v>3450</v>
      </c>
      <c r="F10" s="19" t="n">
        <v>28414200000</v>
      </c>
      <c r="G10" s="19" t="n">
        <v>69600000000</v>
      </c>
      <c r="H10" s="26" t="inlineStr">
        <is>
          <t>Unstable - Adverse Pool</t>
        </is>
      </c>
    </row>
    <row r="11">
      <c r="B11" s="20" t="n">
        <v>1200</v>
      </c>
      <c r="C11" s="20" t="n">
        <v>0.3</v>
      </c>
      <c r="D11" s="19" t="n">
        <v>4350000</v>
      </c>
      <c r="E11" s="32" t="n">
        <v>3800</v>
      </c>
      <c r="F11" s="19" t="n">
        <v>26448000000</v>
      </c>
      <c r="G11" s="19" t="n">
        <v>62640000000</v>
      </c>
      <c r="H11" s="26" t="inlineStr">
        <is>
          <t>Deficit - High Risk Focus</t>
        </is>
      </c>
    </row>
    <row r="12">
      <c r="B12" s="20" t="n">
        <v>1500</v>
      </c>
      <c r="C12" s="20" t="n">
        <v>0.22</v>
      </c>
      <c r="D12" s="19" t="n">
        <v>3190000</v>
      </c>
      <c r="E12" s="32" t="n">
        <v>4100</v>
      </c>
      <c r="F12" s="19" t="n">
        <v>24196150000</v>
      </c>
      <c r="G12" s="19" t="n">
        <v>57420000000</v>
      </c>
      <c r="H12" s="26" t="inlineStr">
        <is>
          <t>Critical - Insolvent (Lasso)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20" customWidth="1" min="4" max="4"/>
    <col width="24" customWidth="1" min="5" max="5"/>
    <col width="31" customWidth="1" min="6" max="6"/>
    <col width="18" customWidth="1" min="7" max="7"/>
    <col width="36" customWidth="1" min="8" max="8"/>
  </cols>
  <sheetData>
    <row r="2">
      <c r="B2" s="1" t="inlineStr">
        <is>
          <t>County-Level Simulation Summary</t>
        </is>
      </c>
    </row>
    <row r="5">
      <c r="B5" s="3" t="inlineStr">
        <is>
          <t>County Name</t>
        </is>
      </c>
      <c r="C5" s="3" t="inlineStr">
        <is>
          <t>Designation</t>
        </is>
      </c>
      <c r="D5" s="3" t="inlineStr">
        <is>
          <t>Population Sample</t>
        </is>
      </c>
      <c r="E5" s="3" t="inlineStr">
        <is>
          <t>Lasso Revenue (Est M)</t>
        </is>
      </c>
      <c r="F5" s="3" t="inlineStr">
        <is>
          <t>Proposed AGI Revenue (Est M)</t>
        </is>
      </c>
      <c r="G5" s="3" t="inlineStr">
        <is>
          <t>Variance (%)</t>
        </is>
      </c>
      <c r="H5" s="3" t="inlineStr">
        <is>
          <t>Primary Driver of Change</t>
        </is>
      </c>
    </row>
    <row r="6">
      <c r="B6" s="8" t="inlineStr">
        <is>
          <t>Nairobi</t>
        </is>
      </c>
      <c r="C6" s="8" t="inlineStr">
        <is>
          <t>Urban Core</t>
        </is>
      </c>
      <c r="D6" s="19" t="n">
        <v>4400000</v>
      </c>
      <c r="E6" s="33" t="n">
        <v>15200</v>
      </c>
      <c r="F6" s="33" t="n">
        <v>21500</v>
      </c>
      <c r="G6" s="28">
        <f>F6/E6-1</f>
        <v/>
      </c>
      <c r="H6" s="8" t="inlineStr">
        <is>
          <t>Captured Informal Wealthy (eTIMS)</t>
        </is>
      </c>
    </row>
    <row r="7">
      <c r="B7" s="8" t="inlineStr">
        <is>
          <t>Mombasa</t>
        </is>
      </c>
      <c r="C7" s="8" t="inlineStr">
        <is>
          <t>Urban Core</t>
        </is>
      </c>
      <c r="D7" s="19" t="n">
        <v>1200000</v>
      </c>
      <c r="E7" s="33" t="n">
        <v>4100</v>
      </c>
      <c r="F7" s="33" t="n">
        <v>5800</v>
      </c>
      <c r="G7" s="28">
        <f>F7/E7-1</f>
        <v/>
      </c>
      <c r="H7" s="8" t="inlineStr">
        <is>
          <t>Asset/Car Registry Cross-Match</t>
        </is>
      </c>
    </row>
    <row r="8">
      <c r="B8" s="8" t="inlineStr">
        <is>
          <t>Kiambu</t>
        </is>
      </c>
      <c r="C8" s="8" t="inlineStr">
        <is>
          <t>Agricultural High-Yield</t>
        </is>
      </c>
      <c r="D8" s="19" t="n">
        <v>2400000</v>
      </c>
      <c r="E8" s="33" t="n">
        <v>8200</v>
      </c>
      <c r="F8" s="33" t="n">
        <v>11200</v>
      </c>
      <c r="G8" s="28">
        <f>F8/E8-1</f>
        <v/>
      </c>
      <c r="H8" s="8" t="inlineStr">
        <is>
          <t>Captured eTIMS Cash Traders</t>
        </is>
      </c>
    </row>
    <row r="9">
      <c r="B9" s="8" t="inlineStr">
        <is>
          <t>Kakamega</t>
        </is>
      </c>
      <c r="C9" s="8" t="inlineStr">
        <is>
          <t>Rural High-Density</t>
        </is>
      </c>
      <c r="D9" s="19" t="n">
        <v>1800000</v>
      </c>
      <c r="E9" s="33" t="n">
        <v>5800</v>
      </c>
      <c r="F9" s="33" t="n">
        <v>4200</v>
      </c>
      <c r="G9" s="29">
        <f>F9/E9-1</f>
        <v/>
      </c>
      <c r="H9" s="8" t="inlineStr">
        <is>
          <t>Pro-poor Dependency Allowance</t>
        </is>
      </c>
    </row>
    <row r="10">
      <c r="B10" s="8" t="inlineStr">
        <is>
          <t>Turkana</t>
        </is>
      </c>
      <c r="C10" s="8" t="inlineStr">
        <is>
          <t>Arid Pastoralist</t>
        </is>
      </c>
      <c r="D10" s="19" t="n">
        <v>900000</v>
      </c>
      <c r="E10" s="33" t="n">
        <v>2900</v>
      </c>
      <c r="F10" s="33" t="n">
        <v>950</v>
      </c>
      <c r="G10" s="29">
        <f>F10/E10-1</f>
        <v/>
      </c>
      <c r="H10" s="8" t="inlineStr">
        <is>
          <t>ASAL Land/Livestock Multiplier</t>
        </is>
      </c>
    </row>
    <row r="11">
      <c r="B11" s="8" t="inlineStr">
        <is>
          <t>Meru</t>
        </is>
      </c>
      <c r="C11" s="8" t="inlineStr">
        <is>
          <t>Rural Medium-Density</t>
        </is>
      </c>
      <c r="D11" s="19" t="n">
        <v>1500000</v>
      </c>
      <c r="E11" s="33" t="n">
        <v>4800</v>
      </c>
      <c r="F11" s="33" t="n">
        <v>3900</v>
      </c>
      <c r="G11" s="29">
        <f>F11/E11-1</f>
        <v/>
      </c>
      <c r="H11" s="8" t="inlineStr">
        <is>
          <t>Ancestral Home Exemption</t>
        </is>
      </c>
    </row>
    <row r="12">
      <c r="B12" s="8" t="inlineStr">
        <is>
          <t>Nyeri</t>
        </is>
      </c>
      <c r="C12" s="8" t="inlineStr">
        <is>
          <t>Rural/Agrarian</t>
        </is>
      </c>
      <c r="D12" s="19" t="n">
        <v>800000</v>
      </c>
      <c r="E12" s="33" t="n">
        <v>2700</v>
      </c>
      <c r="F12" s="33" t="n">
        <v>1850</v>
      </c>
      <c r="G12" s="29">
        <f>F12/E12-1</f>
        <v/>
      </c>
      <c r="H12" s="8" t="inlineStr">
        <is>
          <t>Age Override (Pensioners)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3" customWidth="1" min="3" max="3"/>
    <col width="24" customWidth="1" min="4" max="4"/>
    <col width="18" customWidth="1" min="5" max="5"/>
    <col width="27" customWidth="1" min="6" max="6"/>
    <col width="21" customWidth="1" min="7" max="7"/>
    <col width="43" customWidth="1" min="8" max="8"/>
  </cols>
  <sheetData>
    <row r="2">
      <c r="B2" s="1" t="inlineStr">
        <is>
          <t>Claims &amp; Payout Ratios</t>
        </is>
      </c>
    </row>
    <row r="5">
      <c r="B5" s="3" t="inlineStr">
        <is>
          <t>Claim Category</t>
        </is>
      </c>
      <c r="C5" s="3" t="inlineStr">
        <is>
          <t>Annual Freq (per 1k)</t>
        </is>
      </c>
      <c r="D5" s="3" t="inlineStr">
        <is>
          <t>Lasso Avg Claim (KSh)</t>
        </is>
      </c>
      <c r="E5" s="3" t="inlineStr">
        <is>
          <t>Lasso Total (B)</t>
        </is>
      </c>
      <c r="F5" s="3" t="inlineStr">
        <is>
          <t>Proposed Avg Claim (KSh)</t>
        </is>
      </c>
      <c r="G5" s="3" t="inlineStr">
        <is>
          <t>Proposed Total (B)</t>
        </is>
      </c>
      <c r="H5" s="3" t="inlineStr">
        <is>
          <t>Actuarial Shift Analysis</t>
        </is>
      </c>
    </row>
    <row r="6">
      <c r="B6" s="8" t="inlineStr">
        <is>
          <t>Outpatient Primary</t>
        </is>
      </c>
      <c r="C6" s="19" t="n">
        <v>1200</v>
      </c>
      <c r="D6" s="32" t="n">
        <v>1100</v>
      </c>
      <c r="E6" s="15">
        <f>C6*D6*4.84/1000/10</f>
        <v/>
      </c>
      <c r="F6" s="32" t="n">
        <v>1100</v>
      </c>
      <c r="G6" s="15">
        <f>C6*F6*13.64/1000/10</f>
        <v/>
      </c>
      <c r="H6" s="8" t="inlineStr">
        <is>
          <t>Zebra effect (expanded healthy payers)</t>
        </is>
      </c>
    </row>
    <row r="7">
      <c r="B7" s="8" t="inlineStr">
        <is>
          <t>Outpatient Special</t>
        </is>
      </c>
      <c r="C7" s="19" t="n">
        <v>350</v>
      </c>
      <c r="D7" s="32" t="n">
        <v>4200</v>
      </c>
      <c r="E7" s="15">
        <f>C7*D7*4.84/1000/10</f>
        <v/>
      </c>
      <c r="F7" s="32" t="n">
        <v>3800</v>
      </c>
      <c r="G7" s="15">
        <f>C7*F7*13.64/1000/10</f>
        <v/>
      </c>
      <c r="H7" s="8" t="inlineStr">
        <is>
          <t>Volume discounts on diagnostics</t>
        </is>
      </c>
    </row>
    <row r="8">
      <c r="B8" s="8" t="inlineStr">
        <is>
          <t>Inpatient Standard</t>
        </is>
      </c>
      <c r="C8" s="19" t="n">
        <v>85</v>
      </c>
      <c r="D8" s="32" t="n">
        <v>35000</v>
      </c>
      <c r="E8" s="15">
        <f>C8*D8*4.84/1000/10</f>
        <v/>
      </c>
      <c r="F8" s="32" t="n">
        <v>31000</v>
      </c>
      <c r="G8" s="15">
        <f>C8*F8*13.64/1000/10</f>
        <v/>
      </c>
      <c r="H8" s="8" t="inlineStr">
        <is>
          <t>Lower readmission via primary care focus</t>
        </is>
      </c>
    </row>
    <row r="9">
      <c r="B9" s="8" t="inlineStr">
        <is>
          <t>Inpatient Chronic</t>
        </is>
      </c>
      <c r="C9" s="19" t="n">
        <v>40</v>
      </c>
      <c r="D9" s="32" t="n">
        <v>180000</v>
      </c>
      <c r="E9" s="15">
        <f>C9*D9*4.84/1000/10</f>
        <v/>
      </c>
      <c r="F9" s="32" t="n">
        <v>165000</v>
      </c>
      <c r="G9" s="15">
        <f>C9*F9*13.64/1000/10</f>
        <v/>
      </c>
      <c r="H9" s="8" t="inlineStr">
        <is>
          <t>Catastrophic illness management</t>
        </is>
      </c>
    </row>
    <row r="10">
      <c r="B10" s="8" t="inlineStr">
        <is>
          <t>Maternity &amp; Neonatal</t>
        </is>
      </c>
      <c r="C10" s="19" t="n">
        <v>110</v>
      </c>
      <c r="D10" s="32" t="n">
        <v>25000</v>
      </c>
      <c r="E10" s="15">
        <f>C10*D10*4.84/1000/10</f>
        <v/>
      </c>
      <c r="F10" s="32" t="n">
        <v>25000</v>
      </c>
      <c r="G10" s="15">
        <f>C10*F10*13.64/1000/10</f>
        <v/>
      </c>
      <c r="H10" s="8" t="inlineStr">
        <is>
          <t>Constants due to standardized package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5" customWidth="1" min="3" max="3"/>
    <col width="31" customWidth="1" min="4" max="4"/>
    <col width="16" customWidth="1" min="5" max="5"/>
    <col width="25" customWidth="1" min="6" max="6"/>
    <col width="44" customWidth="1" min="7" max="7"/>
  </cols>
  <sheetData>
    <row r="2">
      <c r="B2" s="1" t="inlineStr">
        <is>
          <t>Alternative Funding: Health Solidarity Levy</t>
        </is>
      </c>
    </row>
    <row r="5">
      <c r="B5" s="3" t="inlineStr">
        <is>
          <t>Proposed Funding Stream</t>
        </is>
      </c>
      <c r="C5" s="3" t="inlineStr">
        <is>
          <t>Base Mechanism / Target</t>
        </is>
      </c>
      <c r="D5" s="3" t="inlineStr">
        <is>
          <t>Estimated Annual Base Volume</t>
        </is>
      </c>
      <c r="E5" s="3" t="inlineStr">
        <is>
          <t>Levy Rate (%)</t>
        </is>
      </c>
      <c r="F5" s="3" t="inlineStr">
        <is>
          <t>Projected Annual Yield</t>
        </is>
      </c>
      <c r="G5" s="3" t="inlineStr">
        <is>
          <t>Feasibility &amp; Policy Hurdles</t>
        </is>
      </c>
    </row>
    <row r="6">
      <c r="B6" s="8" t="inlineStr">
        <is>
          <t>Digital Credit Levy</t>
        </is>
      </c>
      <c r="C6" s="8" t="inlineStr">
        <is>
          <t>0.1% on Fuliza/M-Shwari disbursements</t>
        </is>
      </c>
      <c r="D6" s="32" t="n">
        <v>600000000000</v>
      </c>
      <c r="E6" s="30" t="n">
        <v>0.001</v>
      </c>
      <c r="F6" s="19" t="n">
        <v>600000000</v>
      </c>
      <c r="G6" s="8" t="inlineStr">
        <is>
          <t>Moderate - Safaricom integration required</t>
        </is>
      </c>
    </row>
    <row r="7">
      <c r="B7" s="8" t="inlineStr">
        <is>
          <t>High-End Air Travel Levy</t>
        </is>
      </c>
      <c r="C7" s="8" t="inlineStr">
        <is>
          <t>1% on International Business &amp; First Class</t>
        </is>
      </c>
      <c r="D7" s="32" t="n">
        <v>40000000000</v>
      </c>
      <c r="E7" s="20" t="n">
        <v>0.01</v>
      </c>
      <c r="F7" s="19" t="n">
        <v>400000000</v>
      </c>
      <c r="G7" s="8" t="inlineStr">
        <is>
          <t>High - Captured easily via KAA ticket tax</t>
        </is>
      </c>
    </row>
    <row r="8">
      <c r="B8" s="8" t="inlineStr">
        <is>
          <t>eTIMS Corporate Luxury Levy</t>
        </is>
      </c>
      <c r="C8" s="8" t="inlineStr">
        <is>
          <t>0.5% surcharge on high-end retail sales</t>
        </is>
      </c>
      <c r="D8" s="32" t="n">
        <v>300000000000</v>
      </c>
      <c r="E8" s="20" t="n">
        <v>0.005</v>
      </c>
      <c r="F8" s="19" t="n">
        <v>1500000000</v>
      </c>
      <c r="G8" s="8" t="inlineStr">
        <is>
          <t>High - Fully automated via eTIMS checkout</t>
        </is>
      </c>
    </row>
    <row r="9">
      <c r="B9" s="8" t="inlineStr">
        <is>
          <t>Tobacco/Alcohol Excise Allocation</t>
        </is>
      </c>
      <c r="C9" s="8" t="inlineStr">
        <is>
          <t>5% share of sin-taxes redirected to SHA</t>
        </is>
      </c>
      <c r="D9" s="32" t="n">
        <v>120000000000</v>
      </c>
      <c r="E9" s="20" t="n">
        <v>0.05</v>
      </c>
      <c r="F9" s="19" t="n">
        <v>6000000000</v>
      </c>
      <c r="G9" s="8" t="inlineStr">
        <is>
          <t>Complex - Requires Finance Bill amendment</t>
        </is>
      </c>
    </row>
    <row r="10">
      <c r="B10" s="21" t="inlineStr">
        <is>
          <t>Total Projected Levy Yield</t>
        </is>
      </c>
      <c r="C10" s="22" t="n"/>
      <c r="D10" s="22" t="n"/>
      <c r="E10" s="22" t="n"/>
      <c r="F10" s="23" t="n">
        <v>8500000000</v>
      </c>
      <c r="G10" s="2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2026-05-29T16:54:40Z</dcterms:created>
  <dcterms:modified xmlns:dcterms="http://purl.org/dc/terms/" xmlns:xsi="http://www.w3.org/2001/XMLSchema-instance" xsi:type="dcterms:W3CDTF">2026-06-02T20:39:48Z</dcterms:modified>
</cp:coreProperties>
</file>